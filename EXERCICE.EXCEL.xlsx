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all\Documents\"/>
    </mc:Choice>
  </mc:AlternateContent>
  <bookViews>
    <workbookView xWindow="0" yWindow="0" windowWidth="20490" windowHeight="7530" activeTab="1"/>
  </bookViews>
  <sheets>
    <sheet name="Graphique1" sheetId="3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3" i="1"/>
  <c r="D26" i="1"/>
  <c r="D23" i="1"/>
  <c r="C26" i="1"/>
  <c r="G20" i="1"/>
  <c r="C23" i="1"/>
  <c r="C24" i="1"/>
  <c r="C2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F20" i="1"/>
</calcChain>
</file>

<file path=xl/sharedStrings.xml><?xml version="1.0" encoding="utf-8"?>
<sst xmlns="http://schemas.openxmlformats.org/spreadsheetml/2006/main" count="85" uniqueCount="50">
  <si>
    <t>MAT-SENEGAL-VENTE DE CARTE DE MEMBRES</t>
  </si>
  <si>
    <t>NUMERO</t>
  </si>
  <si>
    <t>NOM</t>
  </si>
  <si>
    <t>SEXE</t>
  </si>
  <si>
    <t>REGION</t>
  </si>
  <si>
    <t>PRENOM</t>
  </si>
  <si>
    <t>PRIX CARTE:500</t>
  </si>
  <si>
    <t>NBCARTE</t>
  </si>
  <si>
    <t>MTVERSE</t>
  </si>
  <si>
    <t>F</t>
  </si>
  <si>
    <t>LAOKEIN</t>
  </si>
  <si>
    <t>MOUSTAPHA</t>
  </si>
  <si>
    <t>MODY SAMBA</t>
  </si>
  <si>
    <t>MANAR</t>
  </si>
  <si>
    <t>AIDA</t>
  </si>
  <si>
    <t>BIRAM</t>
  </si>
  <si>
    <t>SEYDOU</t>
  </si>
  <si>
    <t>BADARA</t>
  </si>
  <si>
    <t>MAHAM</t>
  </si>
  <si>
    <t>ABDOU</t>
  </si>
  <si>
    <t>AISSATOU</t>
  </si>
  <si>
    <t>ROSE</t>
  </si>
  <si>
    <t>MOUSSA</t>
  </si>
  <si>
    <t>IBRAHIMA</t>
  </si>
  <si>
    <t>NDIAYE</t>
  </si>
  <si>
    <t>COMBO</t>
  </si>
  <si>
    <t>GOUMBALA</t>
  </si>
  <si>
    <t>DIALLO</t>
  </si>
  <si>
    <t>DIENG</t>
  </si>
  <si>
    <t>DIEYE</t>
  </si>
  <si>
    <t>DIOUF</t>
  </si>
  <si>
    <t>DRAME</t>
  </si>
  <si>
    <t>FALL</t>
  </si>
  <si>
    <t>KANTE</t>
  </si>
  <si>
    <t>LY</t>
  </si>
  <si>
    <t>SADIO</t>
  </si>
  <si>
    <t>SAGNA</t>
  </si>
  <si>
    <t>SECK</t>
  </si>
  <si>
    <t>THIAM</t>
  </si>
  <si>
    <t>M</t>
  </si>
  <si>
    <t>DAKAR</t>
  </si>
  <si>
    <t>KAOLACK</t>
  </si>
  <si>
    <t>THIES</t>
  </si>
  <si>
    <t>TOTAL</t>
  </si>
  <si>
    <t>TABLEAU
RECAP</t>
  </si>
  <si>
    <t>TOTAL VENTES</t>
  </si>
  <si>
    <t>NB.VENDEURS</t>
  </si>
  <si>
    <t xml:space="preserve">TOTAL CARTES </t>
  </si>
  <si>
    <t>NOMBRES DE VERSEMENT SUPERIEURS A 20000F</t>
  </si>
  <si>
    <t>TOTAL DES VERSEMENTS SUPERIEURS A 20000F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</si>
</sst>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Feuil1!$G$3</c:f>
              <c:strCache>
                <c:ptCount val="1"/>
                <c:pt idx="0">
                  <c:v>MTVERSE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Feuil1!$B$4:$C$19</c:f>
              <c:multiLvlStrCache>
                <c:ptCount val="16"/>
                <c:lvl>
                  <c:pt idx="0">
                    <c:v>COMBO</c:v>
                  </c:pt>
                  <c:pt idx="1">
                    <c:v>GOUMBALA</c:v>
                  </c:pt>
                  <c:pt idx="2">
                    <c:v>DIALLO</c:v>
                  </c:pt>
                  <c:pt idx="3">
                    <c:v>DIENG</c:v>
                  </c:pt>
                  <c:pt idx="4">
                    <c:v>DIEYE</c:v>
                  </c:pt>
                  <c:pt idx="5">
                    <c:v>DIOUF</c:v>
                  </c:pt>
                  <c:pt idx="6">
                    <c:v>DRAME</c:v>
                  </c:pt>
                  <c:pt idx="7">
                    <c:v>FALL</c:v>
                  </c:pt>
                  <c:pt idx="8">
                    <c:v>FALL</c:v>
                  </c:pt>
                  <c:pt idx="9">
                    <c:v>KANTE</c:v>
                  </c:pt>
                  <c:pt idx="10">
                    <c:v>LY</c:v>
                  </c:pt>
                  <c:pt idx="11">
                    <c:v>SADIO</c:v>
                  </c:pt>
                  <c:pt idx="12">
                    <c:v>SAGNA</c:v>
                  </c:pt>
                  <c:pt idx="13">
                    <c:v>SECK</c:v>
                  </c:pt>
                  <c:pt idx="14">
                    <c:v>DIALLO</c:v>
                  </c:pt>
                  <c:pt idx="15">
                    <c:v>THIAM</c:v>
                  </c:pt>
                </c:lvl>
                <c:lvl>
                  <c:pt idx="0">
                    <c:v>LAOKEIN</c:v>
                  </c:pt>
                  <c:pt idx="1">
                    <c:v>MOUSTAPHA</c:v>
                  </c:pt>
                  <c:pt idx="2">
                    <c:v>MODY SAMBA</c:v>
                  </c:pt>
                  <c:pt idx="3">
                    <c:v>MANAR</c:v>
                  </c:pt>
                  <c:pt idx="4">
                    <c:v>AIDA</c:v>
                  </c:pt>
                  <c:pt idx="5">
                    <c:v>BIRAM</c:v>
                  </c:pt>
                  <c:pt idx="6">
                    <c:v>MOUSTAPHA</c:v>
                  </c:pt>
                  <c:pt idx="7">
                    <c:v>SEYDOU</c:v>
                  </c:pt>
                  <c:pt idx="8">
                    <c:v>BADARA</c:v>
                  </c:pt>
                  <c:pt idx="9">
                    <c:v>MAHAM</c:v>
                  </c:pt>
                  <c:pt idx="10">
                    <c:v>ABDOU</c:v>
                  </c:pt>
                  <c:pt idx="11">
                    <c:v>AISSATOU</c:v>
                  </c:pt>
                  <c:pt idx="12">
                    <c:v>ROSE</c:v>
                  </c:pt>
                  <c:pt idx="13">
                    <c:v>MOUSSA</c:v>
                  </c:pt>
                  <c:pt idx="14">
                    <c:v>IBRAHIMA</c:v>
                  </c:pt>
                  <c:pt idx="15">
                    <c:v>NDIAYE</c:v>
                  </c:pt>
                </c:lvl>
              </c:multiLvlStrCache>
            </c:multiLvlStrRef>
          </c:cat>
          <c:val>
            <c:numRef>
              <c:f>Feuil1!$G$4:$G$19</c:f>
              <c:numCache>
                <c:formatCode>General</c:formatCode>
                <c:ptCount val="16"/>
                <c:pt idx="0">
                  <c:v>17500</c:v>
                </c:pt>
                <c:pt idx="1">
                  <c:v>21500</c:v>
                </c:pt>
                <c:pt idx="2">
                  <c:v>15000</c:v>
                </c:pt>
                <c:pt idx="3">
                  <c:v>18500</c:v>
                </c:pt>
                <c:pt idx="4">
                  <c:v>23000</c:v>
                </c:pt>
                <c:pt idx="5">
                  <c:v>25000</c:v>
                </c:pt>
                <c:pt idx="6">
                  <c:v>24000</c:v>
                </c:pt>
                <c:pt idx="7">
                  <c:v>14500</c:v>
                </c:pt>
                <c:pt idx="8">
                  <c:v>23000</c:v>
                </c:pt>
                <c:pt idx="9">
                  <c:v>19000</c:v>
                </c:pt>
                <c:pt idx="10">
                  <c:v>22500</c:v>
                </c:pt>
                <c:pt idx="11">
                  <c:v>20500</c:v>
                </c:pt>
                <c:pt idx="12">
                  <c:v>13000</c:v>
                </c:pt>
                <c:pt idx="13">
                  <c:v>14500</c:v>
                </c:pt>
                <c:pt idx="14">
                  <c:v>23500</c:v>
                </c:pt>
                <c:pt idx="15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6-4B71-BD5C-25A01CF21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859247"/>
        <c:axId val="997865487"/>
      </c:barChart>
      <c:catAx>
        <c:axId val="99785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865487"/>
        <c:crosses val="autoZero"/>
        <c:auto val="1"/>
        <c:lblAlgn val="ctr"/>
        <c:lblOffset val="100"/>
        <c:noMultiLvlLbl val="0"/>
      </c:catAx>
      <c:valAx>
        <c:axId val="9978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85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G3" activeCellId="1" sqref="B3:C19 G3:G19"/>
    </sheetView>
  </sheetViews>
  <sheetFormatPr baseColWidth="10" defaultRowHeight="15" x14ac:dyDescent="0.25"/>
  <cols>
    <col min="1" max="1" width="15" customWidth="1"/>
    <col min="2" max="2" width="17.28515625" customWidth="1"/>
    <col min="3" max="3" width="19" customWidth="1"/>
    <col min="4" max="4" width="16.140625" customWidth="1"/>
    <col min="5" max="5" width="20.42578125" customWidth="1"/>
    <col min="6" max="6" width="11.4257812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7" t="s">
        <v>6</v>
      </c>
      <c r="G2" s="7"/>
    </row>
    <row r="3" spans="1:7" x14ac:dyDescent="0.25">
      <c r="A3" s="5" t="s">
        <v>1</v>
      </c>
      <c r="B3" s="5" t="s">
        <v>5</v>
      </c>
      <c r="C3" s="5" t="s">
        <v>2</v>
      </c>
      <c r="D3" s="5" t="s">
        <v>3</v>
      </c>
      <c r="E3" s="5" t="s">
        <v>4</v>
      </c>
      <c r="F3" s="5" t="s">
        <v>7</v>
      </c>
      <c r="G3" s="5" t="s">
        <v>8</v>
      </c>
    </row>
    <row r="4" spans="1:7" x14ac:dyDescent="0.25">
      <c r="A4" s="5">
        <v>1</v>
      </c>
      <c r="B4" s="5" t="s">
        <v>10</v>
      </c>
      <c r="C4" s="5" t="s">
        <v>25</v>
      </c>
      <c r="D4" s="5" t="s">
        <v>39</v>
      </c>
      <c r="E4" s="5" t="s">
        <v>40</v>
      </c>
      <c r="F4" s="6">
        <v>35</v>
      </c>
      <c r="G4" s="5">
        <f t="shared" ref="G4:G19" si="0">F4*500</f>
        <v>17500</v>
      </c>
    </row>
    <row r="5" spans="1:7" x14ac:dyDescent="0.25">
      <c r="A5" s="5">
        <v>2</v>
      </c>
      <c r="B5" s="5" t="s">
        <v>11</v>
      </c>
      <c r="C5" s="5" t="s">
        <v>26</v>
      </c>
      <c r="D5" s="5" t="s">
        <v>39</v>
      </c>
      <c r="E5" s="5" t="s">
        <v>41</v>
      </c>
      <c r="F5" s="6">
        <v>43</v>
      </c>
      <c r="G5" s="5">
        <f t="shared" si="0"/>
        <v>21500</v>
      </c>
    </row>
    <row r="6" spans="1:7" x14ac:dyDescent="0.25">
      <c r="A6" s="5">
        <v>3</v>
      </c>
      <c r="B6" s="5" t="s">
        <v>12</v>
      </c>
      <c r="C6" s="5" t="s">
        <v>27</v>
      </c>
      <c r="D6" s="5" t="s">
        <v>39</v>
      </c>
      <c r="E6" s="5" t="s">
        <v>40</v>
      </c>
      <c r="F6" s="6">
        <v>30</v>
      </c>
      <c r="G6" s="5">
        <f t="shared" si="0"/>
        <v>15000</v>
      </c>
    </row>
    <row r="7" spans="1:7" x14ac:dyDescent="0.25">
      <c r="A7" s="5">
        <v>4</v>
      </c>
      <c r="B7" s="5" t="s">
        <v>13</v>
      </c>
      <c r="C7" s="5" t="s">
        <v>28</v>
      </c>
      <c r="D7" s="5" t="s">
        <v>39</v>
      </c>
      <c r="E7" s="5" t="s">
        <v>40</v>
      </c>
      <c r="F7" s="6">
        <v>37</v>
      </c>
      <c r="G7" s="5">
        <f t="shared" si="0"/>
        <v>18500</v>
      </c>
    </row>
    <row r="8" spans="1:7" x14ac:dyDescent="0.25">
      <c r="A8" s="5">
        <v>5</v>
      </c>
      <c r="B8" s="5" t="s">
        <v>14</v>
      </c>
      <c r="C8" s="5" t="s">
        <v>29</v>
      </c>
      <c r="D8" s="5" t="s">
        <v>9</v>
      </c>
      <c r="E8" s="5" t="s">
        <v>42</v>
      </c>
      <c r="F8" s="6">
        <v>46</v>
      </c>
      <c r="G8" s="5">
        <f t="shared" si="0"/>
        <v>23000</v>
      </c>
    </row>
    <row r="9" spans="1:7" x14ac:dyDescent="0.25">
      <c r="A9" s="5">
        <v>6</v>
      </c>
      <c r="B9" s="5" t="s">
        <v>15</v>
      </c>
      <c r="C9" s="5" t="s">
        <v>30</v>
      </c>
      <c r="D9" s="5" t="s">
        <v>39</v>
      </c>
      <c r="E9" s="5" t="s">
        <v>42</v>
      </c>
      <c r="F9" s="6">
        <v>50</v>
      </c>
      <c r="G9" s="5">
        <f t="shared" si="0"/>
        <v>25000</v>
      </c>
    </row>
    <row r="10" spans="1:7" x14ac:dyDescent="0.25">
      <c r="A10" s="5">
        <v>7</v>
      </c>
      <c r="B10" s="5" t="s">
        <v>11</v>
      </c>
      <c r="C10" s="5" t="s">
        <v>31</v>
      </c>
      <c r="D10" s="5" t="s">
        <v>39</v>
      </c>
      <c r="E10" s="5" t="s">
        <v>40</v>
      </c>
      <c r="F10" s="6">
        <v>48</v>
      </c>
      <c r="G10" s="5">
        <f t="shared" si="0"/>
        <v>24000</v>
      </c>
    </row>
    <row r="11" spans="1:7" x14ac:dyDescent="0.25">
      <c r="A11" s="5">
        <v>8</v>
      </c>
      <c r="B11" s="5" t="s">
        <v>16</v>
      </c>
      <c r="C11" s="5" t="s">
        <v>32</v>
      </c>
      <c r="D11" s="5" t="s">
        <v>39</v>
      </c>
      <c r="E11" s="5" t="s">
        <v>42</v>
      </c>
      <c r="F11" s="6">
        <v>29</v>
      </c>
      <c r="G11" s="5">
        <f t="shared" si="0"/>
        <v>14500</v>
      </c>
    </row>
    <row r="12" spans="1:7" x14ac:dyDescent="0.25">
      <c r="A12" s="5">
        <v>9</v>
      </c>
      <c r="B12" s="5" t="s">
        <v>17</v>
      </c>
      <c r="C12" s="5" t="s">
        <v>32</v>
      </c>
      <c r="D12" s="5" t="s">
        <v>39</v>
      </c>
      <c r="E12" s="5" t="s">
        <v>41</v>
      </c>
      <c r="F12" s="6">
        <v>46</v>
      </c>
      <c r="G12" s="5">
        <f t="shared" si="0"/>
        <v>23000</v>
      </c>
    </row>
    <row r="13" spans="1:7" x14ac:dyDescent="0.25">
      <c r="A13" s="5">
        <v>10</v>
      </c>
      <c r="B13" s="5" t="s">
        <v>18</v>
      </c>
      <c r="C13" s="5" t="s">
        <v>33</v>
      </c>
      <c r="D13" s="5" t="s">
        <v>39</v>
      </c>
      <c r="E13" s="5" t="s">
        <v>42</v>
      </c>
      <c r="F13" s="6">
        <v>38</v>
      </c>
      <c r="G13" s="5">
        <f t="shared" si="0"/>
        <v>19000</v>
      </c>
    </row>
    <row r="14" spans="1:7" x14ac:dyDescent="0.25">
      <c r="A14" s="5">
        <v>11</v>
      </c>
      <c r="B14" s="5" t="s">
        <v>19</v>
      </c>
      <c r="C14" s="5" t="s">
        <v>34</v>
      </c>
      <c r="D14" s="5" t="s">
        <v>39</v>
      </c>
      <c r="E14" s="5" t="s">
        <v>41</v>
      </c>
      <c r="F14" s="6">
        <v>45</v>
      </c>
      <c r="G14" s="5">
        <f t="shared" si="0"/>
        <v>22500</v>
      </c>
    </row>
    <row r="15" spans="1:7" x14ac:dyDescent="0.25">
      <c r="A15" s="5">
        <v>12</v>
      </c>
      <c r="B15" s="5" t="s">
        <v>20</v>
      </c>
      <c r="C15" s="5" t="s">
        <v>35</v>
      </c>
      <c r="D15" s="5" t="s">
        <v>9</v>
      </c>
      <c r="E15" s="5" t="s">
        <v>40</v>
      </c>
      <c r="F15" s="6">
        <v>41</v>
      </c>
      <c r="G15" s="5">
        <f t="shared" si="0"/>
        <v>20500</v>
      </c>
    </row>
    <row r="16" spans="1:7" x14ac:dyDescent="0.25">
      <c r="A16" s="5">
        <v>13</v>
      </c>
      <c r="B16" s="5" t="s">
        <v>21</v>
      </c>
      <c r="C16" s="5" t="s">
        <v>36</v>
      </c>
      <c r="D16" s="5" t="s">
        <v>9</v>
      </c>
      <c r="E16" s="5" t="s">
        <v>40</v>
      </c>
      <c r="F16" s="6">
        <v>26</v>
      </c>
      <c r="G16" s="5">
        <f t="shared" si="0"/>
        <v>13000</v>
      </c>
    </row>
    <row r="17" spans="1:7" x14ac:dyDescent="0.25">
      <c r="A17" s="5">
        <v>14</v>
      </c>
      <c r="B17" s="5" t="s">
        <v>22</v>
      </c>
      <c r="C17" s="5" t="s">
        <v>37</v>
      </c>
      <c r="D17" s="5" t="s">
        <v>39</v>
      </c>
      <c r="E17" s="5" t="s">
        <v>41</v>
      </c>
      <c r="F17" s="6">
        <v>29</v>
      </c>
      <c r="G17" s="5">
        <f t="shared" si="0"/>
        <v>14500</v>
      </c>
    </row>
    <row r="18" spans="1:7" x14ac:dyDescent="0.25">
      <c r="A18" s="5">
        <v>15</v>
      </c>
      <c r="B18" s="5" t="s">
        <v>23</v>
      </c>
      <c r="C18" s="5" t="s">
        <v>27</v>
      </c>
      <c r="D18" s="5" t="s">
        <v>39</v>
      </c>
      <c r="E18" s="5" t="s">
        <v>41</v>
      </c>
      <c r="F18" s="6">
        <v>47</v>
      </c>
      <c r="G18" s="5">
        <f t="shared" si="0"/>
        <v>23500</v>
      </c>
    </row>
    <row r="19" spans="1:7" x14ac:dyDescent="0.25">
      <c r="A19" s="5">
        <v>16</v>
      </c>
      <c r="B19" s="5" t="s">
        <v>24</v>
      </c>
      <c r="C19" s="5" t="s">
        <v>38</v>
      </c>
      <c r="D19" s="5" t="s">
        <v>39</v>
      </c>
      <c r="E19" s="5" t="s">
        <v>42</v>
      </c>
      <c r="F19" s="6">
        <v>34</v>
      </c>
      <c r="G19" s="5">
        <f t="shared" si="0"/>
        <v>17000</v>
      </c>
    </row>
    <row r="20" spans="1:7" x14ac:dyDescent="0.25">
      <c r="A20" s="5"/>
      <c r="B20" s="5"/>
      <c r="C20" s="5"/>
      <c r="D20" s="5"/>
      <c r="E20" s="5" t="s">
        <v>43</v>
      </c>
      <c r="F20" s="5">
        <f>SUM(F4:F19)</f>
        <v>624</v>
      </c>
      <c r="G20" s="5">
        <f>SUM(G4:G19)</f>
        <v>312000</v>
      </c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3" t="s">
        <v>44</v>
      </c>
      <c r="B22" s="5" t="s">
        <v>4</v>
      </c>
      <c r="C22" s="5" t="s">
        <v>46</v>
      </c>
      <c r="D22" s="5" t="s">
        <v>47</v>
      </c>
      <c r="E22" s="5" t="s">
        <v>45</v>
      </c>
      <c r="F22" s="5"/>
      <c r="G22" s="5"/>
    </row>
    <row r="23" spans="1:7" x14ac:dyDescent="0.25">
      <c r="A23" s="4"/>
      <c r="B23" s="5" t="s">
        <v>40</v>
      </c>
      <c r="C23" s="5">
        <f t="shared" ref="C23:C25" si="1">COUNTIF(E4:E19,"DAKAR")</f>
        <v>6</v>
      </c>
      <c r="D23" s="5">
        <f t="shared" ref="D23:D26" si="2">SUMIF(E4:E19,"DAKAR",F4:F19)</f>
        <v>217</v>
      </c>
      <c r="E23" s="5">
        <f t="shared" ref="E23:E25" si="3">SUMIF(E4:E19,"DAKAR",G4:G19)</f>
        <v>108500</v>
      </c>
      <c r="F23" s="5"/>
      <c r="G23" s="5"/>
    </row>
    <row r="24" spans="1:7" x14ac:dyDescent="0.25">
      <c r="A24" s="4"/>
      <c r="B24" s="5" t="s">
        <v>42</v>
      </c>
      <c r="C24" s="5">
        <f t="shared" si="1"/>
        <v>5</v>
      </c>
      <c r="D24" s="5">
        <v>197</v>
      </c>
      <c r="E24" s="5">
        <v>108500</v>
      </c>
      <c r="F24" s="5"/>
      <c r="G24" s="5"/>
    </row>
    <row r="25" spans="1:7" x14ac:dyDescent="0.25">
      <c r="A25" s="4"/>
      <c r="B25" s="5" t="s">
        <v>41</v>
      </c>
      <c r="C25" s="5">
        <f t="shared" si="1"/>
        <v>5</v>
      </c>
      <c r="D25" s="5">
        <v>210</v>
      </c>
      <c r="E25" s="5">
        <v>105800</v>
      </c>
      <c r="F25" s="5"/>
      <c r="G25" s="5"/>
    </row>
    <row r="26" spans="1:7" x14ac:dyDescent="0.25">
      <c r="A26" s="4"/>
      <c r="B26" s="5" t="s">
        <v>43</v>
      </c>
      <c r="C26" s="5">
        <f>SUM(C23:C25)</f>
        <v>16</v>
      </c>
      <c r="D26" s="5">
        <f>SUM(D23:D25)</f>
        <v>624</v>
      </c>
      <c r="E26" s="5">
        <f>SUM(E23:E25)</f>
        <v>322800</v>
      </c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 t="s">
        <v>48</v>
      </c>
      <c r="C28" s="5"/>
      <c r="D28" s="5"/>
      <c r="E28" s="5"/>
      <c r="F28" s="5"/>
      <c r="G28" s="5"/>
    </row>
    <row r="29" spans="1:7" x14ac:dyDescent="0.25">
      <c r="A29" s="5"/>
      <c r="B29" s="5" t="s">
        <v>49</v>
      </c>
      <c r="C29" s="5"/>
      <c r="D29" s="5"/>
      <c r="E29" s="5"/>
      <c r="F29" s="5"/>
      <c r="G29" s="5"/>
    </row>
    <row r="30" spans="1:7" x14ac:dyDescent="0.25">
      <c r="A30" s="5"/>
      <c r="B30" s="5"/>
      <c r="C30" s="5"/>
      <c r="D30" s="5"/>
      <c r="E30" s="5"/>
      <c r="F30" s="5"/>
      <c r="G30" s="5"/>
    </row>
  </sheetData>
  <mergeCells count="3">
    <mergeCell ref="A1:G1"/>
    <mergeCell ref="F2:G2"/>
    <mergeCell ref="A22:A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Feuil1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Djoumah Jallow</dc:creator>
  <cp:lastModifiedBy>Djoumah Jallow</cp:lastModifiedBy>
  <dcterms:created xsi:type="dcterms:W3CDTF">2023-08-01T20:43:45Z</dcterms:created>
  <dcterms:modified xsi:type="dcterms:W3CDTF">2023-08-01T23:39:21Z</dcterms:modified>
</cp:coreProperties>
</file>